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 list" sheetId="1" state="visible" r:id="rId3"/>
  </sheets>
  <definedNames>
    <definedName function="false" hidden="true" localSheetId="0" name="_xlnm._FilterDatabase" vbProcedure="false">'Parts list'!$A$4:$J$27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<sst xmlns="http://schemas.openxmlformats.org/spreadsheetml/2006/main" count="153" uniqueCount="97">
  <si>
    <t xml:space="preserve">Haptic glove parts list</t>
  </si>
  <si>
    <t xml:space="preserve">Blue cells are inputs you can edit. Prices are rough estimates, check before ordering. Phase: Core = wired version, Wireless = add-on, Optional = nice to have.</t>
  </si>
  <si>
    <t xml:space="preserve">#</t>
  </si>
  <si>
    <t xml:space="preserve">Category</t>
  </si>
  <si>
    <t xml:space="preserve">Part</t>
  </si>
  <si>
    <t xml:space="preserve">Suggested model</t>
  </si>
  <si>
    <t xml:space="preserve">Qty</t>
  </si>
  <si>
    <t xml:space="preserve">Est. unit price (USD)</t>
  </si>
  <si>
    <t xml:space="preserve">Est. total (USD)</t>
  </si>
  <si>
    <t xml:space="preserve">Source</t>
  </si>
  <si>
    <t xml:space="preserve">Phase</t>
  </si>
  <si>
    <t xml:space="preserve">Notes</t>
  </si>
  <si>
    <t xml:space="preserve">Actuation</t>
  </si>
  <si>
    <t xml:space="preserve">Smart servo with current control</t>
  </si>
  <si>
    <t xml:space="preserve">Dynamixel XL330-M077-T</t>
  </si>
  <si>
    <t xml:space="preserve">Buy</t>
  </si>
  <si>
    <t xml:space="preserve">Core</t>
  </si>
  <si>
    <t xml:space="preserve">Built-in encoder, 5 V, current control mode. M288 version if more force is needed, but it is less backdrivable. Price from ROBOTIS US listing, about 24 USD each.</t>
  </si>
  <si>
    <t xml:space="preserve">USB adapter for servo bus</t>
  </si>
  <si>
    <t xml:space="preserve">ROBOTIS U2D2</t>
  </si>
  <si>
    <t xml:space="preserve">Lab or buy</t>
  </si>
  <si>
    <t xml:space="preserve">For setting motor IDs and driving motors from the PC during bring-up. Ask in the lab first.</t>
  </si>
  <si>
    <t xml:space="preserve">Cable spools</t>
  </si>
  <si>
    <t xml:space="preserve">Own design, about 8 mm radius</t>
  </si>
  <si>
    <t xml:space="preserve">3D print</t>
  </si>
  <si>
    <t xml:space="preserve">Radius sets force range: force = torque / radius.</t>
  </si>
  <si>
    <t xml:space="preserve">Tendon cable</t>
  </si>
  <si>
    <t xml:space="preserve">Braided Dyneema fishing line, 0.3 to 0.5 mm</t>
  </si>
  <si>
    <t xml:space="preserve">Low stretch. One spool is plenty.</t>
  </si>
  <si>
    <t xml:space="preserve">Cable guide liner</t>
  </si>
  <si>
    <t xml:space="preserve">PTFE tube, 1 mm ID / 2 mm OD, 1 m</t>
  </si>
  <si>
    <t xml:space="preserve">Reduces friction in the printed guides.</t>
  </si>
  <si>
    <t xml:space="preserve">Vibration</t>
  </si>
  <si>
    <t xml:space="preserve">Fingertip vibration motor</t>
  </si>
  <si>
    <t xml:space="preserve">Coin LRA, 8 to 10 mm</t>
  </si>
  <si>
    <t xml:space="preserve">3 needed, 2 spare. Thin leads break easily.</t>
  </si>
  <si>
    <t xml:space="preserve">Haptic driver</t>
  </si>
  <si>
    <t xml:space="preserve">DRV2605L breakout</t>
  </si>
  <si>
    <t xml:space="preserve">One per LRA.</t>
  </si>
  <si>
    <t xml:space="preserve">I2C multiplexer</t>
  </si>
  <si>
    <t xml:space="preserve">TCA9548A breakout</t>
  </si>
  <si>
    <t xml:space="preserve">DRV2605L has a fixed I2C address, so three of them need a mux.</t>
  </si>
  <si>
    <t xml:space="preserve">Electronics</t>
  </si>
  <si>
    <t xml:space="preserve">Microcontroller</t>
  </si>
  <si>
    <t xml:space="preserve">ESP32-S3 dev board</t>
  </si>
  <si>
    <t xml:space="preserve">USB serial now, WiFi or ESP-NOW later with the same packet format. Talks to the servos on one half-duplex UART pin.</t>
  </si>
  <si>
    <t xml:space="preserve">Perfboard</t>
  </si>
  <si>
    <t xml:space="preserve">Half-size protoboard</t>
  </si>
  <si>
    <t xml:space="preserve">Bulk capacitor</t>
  </si>
  <si>
    <t xml:space="preserve">1000 uF electrolytic, 10 V or higher</t>
  </si>
  <si>
    <t xml:space="preserve">On the 5 V motor rail against brownouts.</t>
  </si>
  <si>
    <t xml:space="preserve">Wire, headers, JST connectors</t>
  </si>
  <si>
    <t xml:space="preserve">Assorted</t>
  </si>
  <si>
    <t xml:space="preserve">Power switch</t>
  </si>
  <si>
    <t xml:space="preserve">Slide or rocker switch, 5 A</t>
  </si>
  <si>
    <t xml:space="preserve">Hard off for the motors.</t>
  </si>
  <si>
    <t xml:space="preserve">Power</t>
  </si>
  <si>
    <t xml:space="preserve">5 V supply for wired phase</t>
  </si>
  <si>
    <t xml:space="preserve">5 V / 4 A wall adapter with barrel jack</t>
  </si>
  <si>
    <t xml:space="preserve">A bench supply works too. USB from the PC cannot power the motors.</t>
  </si>
  <si>
    <t xml:space="preserve">Battery</t>
  </si>
  <si>
    <t xml:space="preserve">USB-C power bank, 5 V / 3 A output</t>
  </si>
  <si>
    <t xml:space="preserve">Wireless</t>
  </si>
  <si>
    <t xml:space="preserve">Simpler and safer than a bare LiPo. Limit motor current in firmware to stay under 3 A.</t>
  </si>
  <si>
    <t xml:space="preserve">Power bank to 5 V rail</t>
  </si>
  <si>
    <t xml:space="preserve">USB-C breakout board or cable with bare leads</t>
  </si>
  <si>
    <t xml:space="preserve">PC-side radio dongle</t>
  </si>
  <si>
    <t xml:space="preserve">Second ESP32-S3 dev board</t>
  </si>
  <si>
    <t xml:space="preserve">Only for ESP-NOW. Not needed if you use WiFi UDP.</t>
  </si>
  <si>
    <t xml:space="preserve">Mechanical</t>
  </si>
  <si>
    <t xml:space="preserve">Base plate, guides, spools</t>
  </si>
  <si>
    <t xml:space="preserve">PLA or PETG</t>
  </si>
  <si>
    <t xml:space="preserve">Print at RASTIC.</t>
  </si>
  <si>
    <t xml:space="preserve">Fingertip caps</t>
  </si>
  <si>
    <t xml:space="preserve">TPU, or PLA with foam padding</t>
  </si>
  <si>
    <t xml:space="preserve">TPU fits different finger sizes better.</t>
  </si>
  <si>
    <t xml:space="preserve">Straps</t>
  </si>
  <si>
    <t xml:space="preserve">Velcro strap, 20 mm</t>
  </si>
  <si>
    <t xml:space="preserve">Hand and wrist.</t>
  </si>
  <si>
    <t xml:space="preserve">Fasteners</t>
  </si>
  <si>
    <t xml:space="preserve">M2 screw and heat-set insert kit</t>
  </si>
  <si>
    <t xml:space="preserve">XL330 uses M2 screws.</t>
  </si>
  <si>
    <t xml:space="preserve">Liner glove</t>
  </si>
  <si>
    <t xml:space="preserve">Thin fabric glove</t>
  </si>
  <si>
    <t xml:space="preserve">Optional</t>
  </si>
  <si>
    <t xml:space="preserve">For comfort and repeatable fit.</t>
  </si>
  <si>
    <t xml:space="preserve">Tracking</t>
  </si>
  <si>
    <t xml:space="preserve">Wrist pose tracker</t>
  </si>
  <si>
    <t xml:space="preserve">Vive tracker</t>
  </si>
  <si>
    <t xml:space="preserve">Lab</t>
  </si>
  <si>
    <t xml:space="preserve">Borrow from the lab. Not needed if the sim hand stays fixed.</t>
  </si>
  <si>
    <t xml:space="preserve">Summary</t>
  </si>
  <si>
    <t xml:space="preserve">Core total</t>
  </si>
  <si>
    <t xml:space="preserve">Wireless total</t>
  </si>
  <si>
    <t xml:space="preserve">Optional total</t>
  </si>
  <si>
    <t xml:space="preserve">All parts</t>
  </si>
  <si>
    <t xml:space="preserve">Must buy (source = Buy)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</si>
</sst>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9.5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5" t="n">
        <v>3</v>
      </c>
      <c r="F5" s="6" t="n">
        <v>24</v>
      </c>
      <c r="G5" s="7" t="n">
        <f aca="false">E5*F5</f>
        <v>72</v>
      </c>
      <c r="H5" s="4" t="s">
        <v>15</v>
      </c>
      <c r="I5" s="4" t="s">
        <v>16</v>
      </c>
      <c r="J5" s="4" t="s">
        <v>17</v>
      </c>
    </row>
    <row r="6" customFormat="false" ht="26.85" hidden="false" customHeight="false" outlineLevel="0" collapsed="false">
      <c r="A6" s="4" t="n">
        <v>2</v>
      </c>
      <c r="B6" s="4" t="s">
        <v>12</v>
      </c>
      <c r="C6" s="4" t="s">
        <v>18</v>
      </c>
      <c r="D6" s="4" t="s">
        <v>19</v>
      </c>
      <c r="E6" s="5" t="n">
        <v>1</v>
      </c>
      <c r="F6" s="6" t="n">
        <v>35</v>
      </c>
      <c r="G6" s="7" t="n">
        <f aca="false">E6*F6</f>
        <v>35</v>
      </c>
      <c r="H6" s="4" t="s">
        <v>20</v>
      </c>
      <c r="I6" s="4" t="s">
        <v>16</v>
      </c>
      <c r="J6" s="4" t="s">
        <v>21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22</v>
      </c>
      <c r="D7" s="4" t="s">
        <v>23</v>
      </c>
      <c r="E7" s="5" t="n">
        <v>3</v>
      </c>
      <c r="F7" s="6" t="n">
        <v>0</v>
      </c>
      <c r="G7" s="7" t="n">
        <f aca="false">E7*F7</f>
        <v>0</v>
      </c>
      <c r="H7" s="4" t="s">
        <v>24</v>
      </c>
      <c r="I7" s="4" t="s">
        <v>16</v>
      </c>
      <c r="J7" s="4" t="s">
        <v>25</v>
      </c>
    </row>
    <row r="8" customFormat="false" ht="26.85" hidden="false" customHeight="false" outlineLevel="0" collapsed="false">
      <c r="A8" s="4" t="n">
        <v>4</v>
      </c>
      <c r="B8" s="4" t="s">
        <v>12</v>
      </c>
      <c r="C8" s="4" t="s">
        <v>26</v>
      </c>
      <c r="D8" s="4" t="s">
        <v>27</v>
      </c>
      <c r="E8" s="5" t="n">
        <v>1</v>
      </c>
      <c r="F8" s="6" t="n">
        <v>10</v>
      </c>
      <c r="G8" s="7" t="n">
        <f aca="false">E8*F8</f>
        <v>10</v>
      </c>
      <c r="H8" s="4" t="s">
        <v>15</v>
      </c>
      <c r="I8" s="4" t="s">
        <v>16</v>
      </c>
      <c r="J8" s="4" t="s">
        <v>28</v>
      </c>
    </row>
    <row r="9" customFormat="false" ht="15" hidden="false" customHeight="false" outlineLevel="0" collapsed="false">
      <c r="A9" s="4" t="n">
        <v>5</v>
      </c>
      <c r="B9" s="4" t="s">
        <v>12</v>
      </c>
      <c r="C9" s="4" t="s">
        <v>29</v>
      </c>
      <c r="D9" s="4" t="s">
        <v>30</v>
      </c>
      <c r="E9" s="5" t="n">
        <v>1</v>
      </c>
      <c r="F9" s="6" t="n">
        <v>6</v>
      </c>
      <c r="G9" s="7" t="n">
        <f aca="false">E9*F9</f>
        <v>6</v>
      </c>
      <c r="H9" s="4" t="s">
        <v>15</v>
      </c>
      <c r="I9" s="4" t="s">
        <v>16</v>
      </c>
      <c r="J9" s="4" t="s">
        <v>31</v>
      </c>
    </row>
    <row r="10" customFormat="false" ht="15" hidden="false" customHeight="false" outlineLevel="0" collapsed="false">
      <c r="A10" s="4" t="n">
        <v>6</v>
      </c>
      <c r="B10" s="4" t="s">
        <v>32</v>
      </c>
      <c r="C10" s="4" t="s">
        <v>33</v>
      </c>
      <c r="D10" s="4" t="s">
        <v>34</v>
      </c>
      <c r="E10" s="5" t="n">
        <v>5</v>
      </c>
      <c r="F10" s="6" t="n">
        <v>2</v>
      </c>
      <c r="G10" s="7" t="n">
        <f aca="false">E10*F10</f>
        <v>10</v>
      </c>
      <c r="H10" s="4" t="s">
        <v>15</v>
      </c>
      <c r="I10" s="4" t="s">
        <v>16</v>
      </c>
      <c r="J10" s="4" t="s">
        <v>35</v>
      </c>
    </row>
    <row r="11" customFormat="false" ht="15" hidden="false" customHeight="false" outlineLevel="0" collapsed="false">
      <c r="A11" s="4" t="n">
        <v>7</v>
      </c>
      <c r="B11" s="4" t="s">
        <v>32</v>
      </c>
      <c r="C11" s="4" t="s">
        <v>36</v>
      </c>
      <c r="D11" s="4" t="s">
        <v>37</v>
      </c>
      <c r="E11" s="5" t="n">
        <v>3</v>
      </c>
      <c r="F11" s="6" t="n">
        <v>8</v>
      </c>
      <c r="G11" s="7" t="n">
        <f aca="false">E11*F11</f>
        <v>24</v>
      </c>
      <c r="H11" s="4" t="s">
        <v>15</v>
      </c>
      <c r="I11" s="4" t="s">
        <v>16</v>
      </c>
      <c r="J11" s="4" t="s">
        <v>38</v>
      </c>
    </row>
    <row r="12" customFormat="false" ht="15" hidden="false" customHeight="false" outlineLevel="0" collapsed="false">
      <c r="A12" s="4" t="n">
        <v>8</v>
      </c>
      <c r="B12" s="4" t="s">
        <v>32</v>
      </c>
      <c r="C12" s="4" t="s">
        <v>39</v>
      </c>
      <c r="D12" s="4" t="s">
        <v>40</v>
      </c>
      <c r="E12" s="5" t="n">
        <v>1</v>
      </c>
      <c r="F12" s="6" t="n">
        <v>7</v>
      </c>
      <c r="G12" s="7" t="n">
        <f aca="false">E12*F12</f>
        <v>7</v>
      </c>
      <c r="H12" s="4" t="s">
        <v>15</v>
      </c>
      <c r="I12" s="4" t="s">
        <v>16</v>
      </c>
      <c r="J12" s="4" t="s">
        <v>41</v>
      </c>
    </row>
    <row r="13" customFormat="false" ht="26.85" hidden="false" customHeight="false" outlineLevel="0" collapsed="false">
      <c r="A13" s="4" t="n">
        <v>9</v>
      </c>
      <c r="B13" s="4" t="s">
        <v>42</v>
      </c>
      <c r="C13" s="4" t="s">
        <v>43</v>
      </c>
      <c r="D13" s="4" t="s">
        <v>44</v>
      </c>
      <c r="E13" s="5" t="n">
        <v>1</v>
      </c>
      <c r="F13" s="6" t="n">
        <v>15</v>
      </c>
      <c r="G13" s="7" t="n">
        <f aca="false">E13*F13</f>
        <v>15</v>
      </c>
      <c r="H13" s="4" t="s">
        <v>15</v>
      </c>
      <c r="I13" s="4" t="s">
        <v>16</v>
      </c>
      <c r="J13" s="4" t="s">
        <v>45</v>
      </c>
    </row>
    <row r="14" customFormat="false" ht="15" hidden="false" customHeight="false" outlineLevel="0" collapsed="false">
      <c r="A14" s="4" t="n">
        <v>10</v>
      </c>
      <c r="B14" s="4" t="s">
        <v>42</v>
      </c>
      <c r="C14" s="4" t="s">
        <v>46</v>
      </c>
      <c r="D14" s="4" t="s">
        <v>47</v>
      </c>
      <c r="E14" s="5" t="n">
        <v>1</v>
      </c>
      <c r="F14" s="6" t="n">
        <v>3</v>
      </c>
      <c r="G14" s="7" t="n">
        <f aca="false">E14*F14</f>
        <v>3</v>
      </c>
      <c r="H14" s="4" t="s">
        <v>20</v>
      </c>
      <c r="I14" s="4" t="s">
        <v>16</v>
      </c>
      <c r="J14" s="4"/>
    </row>
    <row r="15" customFormat="false" ht="15" hidden="false" customHeight="false" outlineLevel="0" collapsed="false">
      <c r="A15" s="4" t="n">
        <v>11</v>
      </c>
      <c r="B15" s="4" t="s">
        <v>42</v>
      </c>
      <c r="C15" s="4" t="s">
        <v>48</v>
      </c>
      <c r="D15" s="4" t="s">
        <v>49</v>
      </c>
      <c r="E15" s="5" t="n">
        <v>1</v>
      </c>
      <c r="F15" s="6" t="n">
        <v>1</v>
      </c>
      <c r="G15" s="7" t="n">
        <f aca="false">E15*F15</f>
        <v>1</v>
      </c>
      <c r="H15" s="4" t="s">
        <v>20</v>
      </c>
      <c r="I15" s="4" t="s">
        <v>16</v>
      </c>
      <c r="J15" s="4" t="s">
        <v>50</v>
      </c>
    </row>
    <row r="16" customFormat="false" ht="15" hidden="false" customHeight="false" outlineLevel="0" collapsed="false">
      <c r="A16" s="4" t="n">
        <v>12</v>
      </c>
      <c r="B16" s="4" t="s">
        <v>42</v>
      </c>
      <c r="C16" s="4" t="s">
        <v>51</v>
      </c>
      <c r="D16" s="4" t="s">
        <v>52</v>
      </c>
      <c r="E16" s="5" t="n">
        <v>1</v>
      </c>
      <c r="F16" s="6" t="n">
        <v>5</v>
      </c>
      <c r="G16" s="7" t="n">
        <f aca="false">E16*F16</f>
        <v>5</v>
      </c>
      <c r="H16" s="4" t="s">
        <v>20</v>
      </c>
      <c r="I16" s="4" t="s">
        <v>16</v>
      </c>
      <c r="J16" s="4"/>
    </row>
    <row r="17" customFormat="false" ht="15" hidden="false" customHeight="false" outlineLevel="0" collapsed="false">
      <c r="A17" s="4" t="n">
        <v>13</v>
      </c>
      <c r="B17" s="4" t="s">
        <v>42</v>
      </c>
      <c r="C17" s="4" t="s">
        <v>53</v>
      </c>
      <c r="D17" s="4" t="s">
        <v>54</v>
      </c>
      <c r="E17" s="5" t="n">
        <v>1</v>
      </c>
      <c r="F17" s="6" t="n">
        <v>1</v>
      </c>
      <c r="G17" s="7" t="n">
        <f aca="false">E17*F17</f>
        <v>1</v>
      </c>
      <c r="H17" s="4" t="s">
        <v>20</v>
      </c>
      <c r="I17" s="4" t="s">
        <v>16</v>
      </c>
      <c r="J17" s="4" t="s">
        <v>55</v>
      </c>
    </row>
    <row r="18" customFormat="false" ht="15" hidden="false" customHeight="false" outlineLevel="0" collapsed="false">
      <c r="A18" s="4" t="n">
        <v>14</v>
      </c>
      <c r="B18" s="4" t="s">
        <v>56</v>
      </c>
      <c r="C18" s="4" t="s">
        <v>57</v>
      </c>
      <c r="D18" s="4" t="s">
        <v>58</v>
      </c>
      <c r="E18" s="5" t="n">
        <v>1</v>
      </c>
      <c r="F18" s="6" t="n">
        <v>12</v>
      </c>
      <c r="G18" s="7" t="n">
        <f aca="false">E18*F18</f>
        <v>12</v>
      </c>
      <c r="H18" s="4" t="s">
        <v>20</v>
      </c>
      <c r="I18" s="4" t="s">
        <v>16</v>
      </c>
      <c r="J18" s="4" t="s">
        <v>59</v>
      </c>
    </row>
    <row r="19" customFormat="false" ht="26.85" hidden="false" customHeight="false" outlineLevel="0" collapsed="false">
      <c r="A19" s="4" t="n">
        <v>15</v>
      </c>
      <c r="B19" s="4" t="s">
        <v>56</v>
      </c>
      <c r="C19" s="4" t="s">
        <v>60</v>
      </c>
      <c r="D19" s="4" t="s">
        <v>61</v>
      </c>
      <c r="E19" s="5" t="n">
        <v>1</v>
      </c>
      <c r="F19" s="6" t="n">
        <v>25</v>
      </c>
      <c r="G19" s="7" t="n">
        <f aca="false">E19*F19</f>
        <v>25</v>
      </c>
      <c r="H19" s="4" t="s">
        <v>15</v>
      </c>
      <c r="I19" s="4" t="s">
        <v>62</v>
      </c>
      <c r="J19" s="4" t="s">
        <v>63</v>
      </c>
    </row>
    <row r="20" customFormat="false" ht="26.85" hidden="false" customHeight="false" outlineLevel="0" collapsed="false">
      <c r="A20" s="4" t="n">
        <v>16</v>
      </c>
      <c r="B20" s="4" t="s">
        <v>56</v>
      </c>
      <c r="C20" s="4" t="s">
        <v>64</v>
      </c>
      <c r="D20" s="4" t="s">
        <v>65</v>
      </c>
      <c r="E20" s="5" t="n">
        <v>1</v>
      </c>
      <c r="F20" s="6" t="n">
        <v>5</v>
      </c>
      <c r="G20" s="7" t="n">
        <f aca="false">E20*F20</f>
        <v>5</v>
      </c>
      <c r="H20" s="4" t="s">
        <v>15</v>
      </c>
      <c r="I20" s="4" t="s">
        <v>62</v>
      </c>
      <c r="J20" s="4"/>
    </row>
    <row r="21" customFormat="false" ht="15" hidden="false" customHeight="false" outlineLevel="0" collapsed="false">
      <c r="A21" s="4" t="n">
        <v>17</v>
      </c>
      <c r="B21" s="4" t="s">
        <v>62</v>
      </c>
      <c r="C21" s="4" t="s">
        <v>66</v>
      </c>
      <c r="D21" s="4" t="s">
        <v>67</v>
      </c>
      <c r="E21" s="5" t="n">
        <v>1</v>
      </c>
      <c r="F21" s="6" t="n">
        <v>15</v>
      </c>
      <c r="G21" s="7" t="n">
        <f aca="false">E21*F21</f>
        <v>15</v>
      </c>
      <c r="H21" s="4" t="s">
        <v>15</v>
      </c>
      <c r="I21" s="4" t="s">
        <v>62</v>
      </c>
      <c r="J21" s="4" t="s">
        <v>68</v>
      </c>
    </row>
    <row r="22" customFormat="false" ht="15" hidden="false" customHeight="false" outlineLevel="0" collapsed="false">
      <c r="A22" s="4" t="n">
        <v>18</v>
      </c>
      <c r="B22" s="4" t="s">
        <v>69</v>
      </c>
      <c r="C22" s="4" t="s">
        <v>70</v>
      </c>
      <c r="D22" s="4" t="s">
        <v>71</v>
      </c>
      <c r="E22" s="5" t="n">
        <v>1</v>
      </c>
      <c r="F22" s="6" t="n">
        <v>0</v>
      </c>
      <c r="G22" s="7" t="n">
        <f aca="false">E22*F22</f>
        <v>0</v>
      </c>
      <c r="H22" s="4" t="s">
        <v>24</v>
      </c>
      <c r="I22" s="4" t="s">
        <v>16</v>
      </c>
      <c r="J22" s="4" t="s">
        <v>72</v>
      </c>
    </row>
    <row r="23" customFormat="false" ht="15" hidden="false" customHeight="false" outlineLevel="0" collapsed="false">
      <c r="A23" s="4" t="n">
        <v>19</v>
      </c>
      <c r="B23" s="4" t="s">
        <v>69</v>
      </c>
      <c r="C23" s="4" t="s">
        <v>73</v>
      </c>
      <c r="D23" s="4" t="s">
        <v>74</v>
      </c>
      <c r="E23" s="5" t="n">
        <v>3</v>
      </c>
      <c r="F23" s="6" t="n">
        <v>0</v>
      </c>
      <c r="G23" s="7" t="n">
        <f aca="false">E23*F23</f>
        <v>0</v>
      </c>
      <c r="H23" s="4" t="s">
        <v>24</v>
      </c>
      <c r="I23" s="4" t="s">
        <v>16</v>
      </c>
      <c r="J23" s="4" t="s">
        <v>75</v>
      </c>
    </row>
    <row r="24" customFormat="false" ht="15" hidden="false" customHeight="false" outlineLevel="0" collapsed="false">
      <c r="A24" s="4" t="n">
        <v>20</v>
      </c>
      <c r="B24" s="4" t="s">
        <v>69</v>
      </c>
      <c r="C24" s="4" t="s">
        <v>76</v>
      </c>
      <c r="D24" s="4" t="s">
        <v>77</v>
      </c>
      <c r="E24" s="5" t="n">
        <v>1</v>
      </c>
      <c r="F24" s="6" t="n">
        <v>8</v>
      </c>
      <c r="G24" s="7" t="n">
        <f aca="false">E24*F24</f>
        <v>8</v>
      </c>
      <c r="H24" s="4" t="s">
        <v>15</v>
      </c>
      <c r="I24" s="4" t="s">
        <v>16</v>
      </c>
      <c r="J24" s="4" t="s">
        <v>78</v>
      </c>
    </row>
    <row r="25" customFormat="false" ht="15" hidden="false" customHeight="false" outlineLevel="0" collapsed="false">
      <c r="A25" s="4" t="n">
        <v>21</v>
      </c>
      <c r="B25" s="4" t="s">
        <v>69</v>
      </c>
      <c r="C25" s="4" t="s">
        <v>79</v>
      </c>
      <c r="D25" s="4" t="s">
        <v>80</v>
      </c>
      <c r="E25" s="5" t="n">
        <v>1</v>
      </c>
      <c r="F25" s="6" t="n">
        <v>10</v>
      </c>
      <c r="G25" s="7" t="n">
        <f aca="false">E25*F25</f>
        <v>10</v>
      </c>
      <c r="H25" s="4" t="s">
        <v>20</v>
      </c>
      <c r="I25" s="4" t="s">
        <v>16</v>
      </c>
      <c r="J25" s="4" t="s">
        <v>81</v>
      </c>
    </row>
    <row r="26" customFormat="false" ht="15" hidden="false" customHeight="false" outlineLevel="0" collapsed="false">
      <c r="A26" s="4" t="n">
        <v>22</v>
      </c>
      <c r="B26" s="4" t="s">
        <v>69</v>
      </c>
      <c r="C26" s="4" t="s">
        <v>82</v>
      </c>
      <c r="D26" s="4" t="s">
        <v>83</v>
      </c>
      <c r="E26" s="5" t="n">
        <v>1</v>
      </c>
      <c r="F26" s="6" t="n">
        <v>8</v>
      </c>
      <c r="G26" s="7" t="n">
        <f aca="false">E26*F26</f>
        <v>8</v>
      </c>
      <c r="H26" s="4" t="s">
        <v>15</v>
      </c>
      <c r="I26" s="4" t="s">
        <v>84</v>
      </c>
      <c r="J26" s="4" t="s">
        <v>85</v>
      </c>
    </row>
    <row r="27" customFormat="false" ht="15" hidden="false" customHeight="false" outlineLevel="0" collapsed="false">
      <c r="A27" s="4" t="n">
        <v>23</v>
      </c>
      <c r="B27" s="4" t="s">
        <v>86</v>
      </c>
      <c r="C27" s="4" t="s">
        <v>87</v>
      </c>
      <c r="D27" s="4" t="s">
        <v>88</v>
      </c>
      <c r="E27" s="5" t="n">
        <v>1</v>
      </c>
      <c r="F27" s="6" t="n">
        <v>0</v>
      </c>
      <c r="G27" s="7" t="n">
        <f aca="false">E27*F27</f>
        <v>0</v>
      </c>
      <c r="H27" s="4" t="s">
        <v>89</v>
      </c>
      <c r="I27" s="4" t="s">
        <v>84</v>
      </c>
      <c r="J27" s="4" t="s">
        <v>90</v>
      </c>
    </row>
    <row r="29" customFormat="false" ht="15" hidden="false" customHeight="false" outlineLevel="0" collapsed="false">
      <c r="C29" s="8" t="s">
        <v>91</v>
      </c>
    </row>
    <row r="30" customFormat="false" ht="15" hidden="false" customHeight="false" outlineLevel="0" collapsed="false">
      <c r="C30" s="9" t="s">
        <v>92</v>
      </c>
      <c r="G30" s="10" t="n">
        <f aca="false">SUMIFS(G5:G27,I5:I27,"Core")</f>
        <v>219</v>
      </c>
    </row>
    <row r="31" customFormat="false" ht="15" hidden="false" customHeight="false" outlineLevel="0" collapsed="false">
      <c r="C31" s="9" t="s">
        <v>93</v>
      </c>
      <c r="G31" s="10" t="n">
        <f aca="false">SUMIFS(G5:G27,I5:I27,"Wireless")</f>
        <v>45</v>
      </c>
    </row>
    <row r="32" customFormat="false" ht="15" hidden="false" customHeight="false" outlineLevel="0" collapsed="false">
      <c r="C32" s="9" t="s">
        <v>94</v>
      </c>
      <c r="G32" s="10" t="n">
        <f aca="false">SUMIFS(G5:G27,I5:I27,"Optional")</f>
        <v>8</v>
      </c>
    </row>
    <row r="33" customFormat="false" ht="15" hidden="false" customHeight="false" outlineLevel="0" collapsed="false">
      <c r="C33" s="8" t="s">
        <v>95</v>
      </c>
      <c r="G33" s="11" t="n">
        <f aca="false">SUM(G5:G27)</f>
        <v>272</v>
      </c>
    </row>
    <row r="34" customFormat="false" ht="15" hidden="false" customHeight="false" outlineLevel="0" collapsed="false">
      <c r="C34" s="9" t="s">
        <v>96</v>
      </c>
      <c r="G34" s="10" t="n">
        <f aca="false">SUMIFS(G5:G27,H5:H27,"Buy")</f>
        <v>205</v>
      </c>
    </row>
  </sheetData>
  <autoFilter ref="A4:J27"/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2026-10-05T01:07:29Z</dcterms:created>
  <dc:creator>openpyxl</dc:creator>
  <dc:description/>
  <dc:language>en-US</dc:language>
  <cp:lastModifiedBy/>
  <dcterms:modified xsi:type="dcterms:W3CDTF">2026-10-05T01:07:29Z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